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capitulare-clasa-a-9a\"/>
    </mc:Choice>
  </mc:AlternateContent>
  <xr:revisionPtr revIDLastSave="0" documentId="13_ncr:1_{7971BB81-019F-4B4D-9B88-3DA535EED0AB}" xr6:coauthVersionLast="47" xr6:coauthVersionMax="47" xr10:uidLastSave="{00000000-0000-0000-0000-000000000000}"/>
  <bookViews>
    <workbookView xWindow="-120" yWindow="-120" windowWidth="29040" windowHeight="15720" tabRatio="500" firstSheet="1" activeTab="5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6" l="1"/>
  <c r="E3" i="6"/>
  <c r="F3" i="6"/>
  <c r="G3" i="6"/>
  <c r="H3" i="6"/>
  <c r="I3" i="6"/>
  <c r="J3" i="6"/>
  <c r="C3" i="6"/>
  <c r="C3" i="4"/>
  <c r="C4" i="4"/>
  <c r="C5" i="4"/>
  <c r="C6" i="4"/>
  <c r="C7" i="4"/>
  <c r="C8" i="4"/>
  <c r="C9" i="4"/>
  <c r="C10" i="4"/>
  <c r="C11" i="4"/>
  <c r="I2" i="3"/>
  <c r="B3" i="2"/>
  <c r="B4" i="2"/>
  <c r="B5" i="2"/>
  <c r="B6" i="2"/>
  <c r="B7" i="2"/>
  <c r="B8" i="2"/>
  <c r="B9" i="2"/>
  <c r="B10" i="2"/>
  <c r="B11" i="2"/>
  <c r="B12" i="2"/>
  <c r="B2" i="2"/>
  <c r="J2" i="1"/>
  <c r="I2" i="1"/>
  <c r="H2" i="1"/>
  <c r="G18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C2" i="4"/>
</calcChain>
</file>

<file path=xl/sharedStrings.xml><?xml version="1.0" encoding="utf-8"?>
<sst xmlns="http://schemas.openxmlformats.org/spreadsheetml/2006/main" count="127" uniqueCount="127">
  <si>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</si>
  <si>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</si>
  <si>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</si>
  <si>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</si>
  <si>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</si>
  <si>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</si>
  <si>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</si>
  <si>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</si>
  <si>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</si>
  <si>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</si>
  <si>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</si>
  <si>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</si>
  <si>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</si>
  <si>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</si>
  <si>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</si>
  <si>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</si>
  <si>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</si>
  <si>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</si>
  <si>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</si>
  <si>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</si>
  <si>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</si>
  <si>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</si>
  <si>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</si>
  <si>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</si>
  <si>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</si>
  <si>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</si>
  <si>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</si>
  <si>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</si>
  <si>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</si>
  <si>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</si>
  <si>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</si>
  <si>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</si>
  <si>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</si>
  <si>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</si>
  <si>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</si>
  <si>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</si>
  <si>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</si>
  <si>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</si>
  <si>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</si>
  <si>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</si>
  <si>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</si>
  <si>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</si>
  <si>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</si>
  <si>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</si>
  <si>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</si>
  <si>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</si>
  <si>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</si>
  <si>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</si>
  <si>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</si>
  <si>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</si>
  <si>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</si>
  <si>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</si>
  <si>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</si>
  <si>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</si>
  <si>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</si>
  <si>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</si>
  <si>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</si>
  <si>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</si>
  <si>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</si>
  <si>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</si>
  <si>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</si>
  <si>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</si>
  <si>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</si>
  <si>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</si>
  <si>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</si>
  <si>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</si>
  <si>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</si>
  <si>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</si>
  <si>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</rPr>
      <t xml:space="preserve">imaginea </t>
    </r>
    <r>
      <rPr>
        <b/>
        <sz val="9"/>
        <color rgb="FF000000"/>
        <rFont val="IBMPlexSans-Bold"/>
        <family val="2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</si>
  <si>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</si>
  <si>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</si>
  <si>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</si>
  <si>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</si>
  <si>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</si>
  <si>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</si>
  <si>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</si>
  <si>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</si>
  <si>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</si>
  <si>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</si>
  <si>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</si>
  <si>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</si>
  <si>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</si>
  <si>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</si>
  <si>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</si>
  <si>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</si>
  <si>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</si>
  <si>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Ioana </t>
  </si>
  <si>
    <t xml:space="preserve"> Radu </t>
  </si>
  <si>
    <t xml:space="preserve"> Maria </t>
  </si>
  <si>
    <t xml:space="preserve"> Sorin </t>
  </si>
  <si>
    <t xml:space="preserve"> Elena </t>
  </si>
  <si>
    <t xml:space="preserve"> Daria </t>
  </si>
  <si>
    <t xml:space="preserve"> Mihai </t>
  </si>
  <si>
    <t xml:space="preserve"> Andrei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</si>
  <si>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</si>
  <si>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</si>
  <si>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</si>
  <si>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</si>
  <si>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</si>
  <si>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</si>
  <si>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</rPr>
      <t xml:space="preserve">Inserare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</si>
  <si>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</si>
  <si>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</si>
  <si>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</si>
  <si>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</si>
  <si>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</si>
  <si>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</si>
  <si>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</si>
  <si>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</si>
  <si>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</si>
  <si>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</si>
  <si>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Populația lumii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</si>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</sst>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</font>
    <font>
      <b/>
      <sz val="9"/>
      <color rgb="FF000000"/>
      <name val="IBMPlexSans-Bold"/>
      <family val="2"/>
    </font>
    <font>
      <sz val="10"/>
      <color rgb="FF00ABAD"/>
      <name val="Wingdings-Regular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</font>
    <font>
      <sz val="10"/>
      <color rgb="FFBF0041"/>
      <name val="IBMPlexSans"/>
      <family val="2"/>
    </font>
    <font>
      <i/>
      <sz val="10"/>
      <color rgb="FFBF0041"/>
      <name val="IBMPlexSans-Italic"/>
      <family val="2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Numarul</a:t>
            </a:r>
            <a:r>
              <a:rPr lang="en-US" baseline="0"/>
              <a:t> de medii in functie de 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'Diagrama medii'!$A$2</c:f>
              <c:strCache>
                <c:ptCount val="1"/>
                <c:pt idx="0">
                  <c:v>Numărul mediilor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'Diagrama medii'!$B$2:$K$2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132</c:v>
                </c:pt>
                <c:pt idx="5">
                  <c:v>234</c:v>
                </c:pt>
                <c:pt idx="6">
                  <c:v>243</c:v>
                </c:pt>
                <c:pt idx="7">
                  <c:v>292</c:v>
                </c:pt>
                <c:pt idx="8">
                  <c:v>267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D-4119-8208-2087D7880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75744"/>
        <c:axId val="123932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'Diagrama medii'!$A$1</c15:sqref>
                        </c15:formulaRef>
                      </c:ext>
                    </c:extLst>
                    <c:strCache>
                      <c:ptCount val="1"/>
                      <c:pt idx="0">
                        <c:v>Media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'Diagrama medii'!$B$1:$K$1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3CD-4119-8208-2087D78806D0}"/>
                  </c:ext>
                </c:extLst>
              </c15:ser>
            </c15:filteredBarSeries>
          </c:ext>
        </c:extLst>
      </c:barChart>
      <c:catAx>
        <c:axId val="12267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2592"/>
        <c:crosses val="autoZero"/>
        <c:auto val="1"/>
        <c:lblAlgn val="ctr"/>
        <c:lblOffset val="100"/>
        <c:noMultiLvlLbl val="0"/>
      </c:catAx>
      <c:valAx>
        <c:axId val="12393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88695</xdr:colOff>
      <xdr:row>14</xdr:row>
      <xdr:rowOff>28665</xdr:rowOff>
    </xdr:from>
    <xdr:to>
      <xdr:col>15</xdr:col>
      <xdr:colOff>291735</xdr:colOff>
      <xdr:row>36</xdr:row>
      <xdr:rowOff>106110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74795" y="2295615"/>
          <a:ext cx="8689815" cy="37159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375840</xdr:colOff>
      <xdr:row>26</xdr:row>
      <xdr:rowOff>57600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3360"/>
          <a:ext cx="8926200" cy="152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581760</xdr:colOff>
      <xdr:row>44</xdr:row>
      <xdr:rowOff>20880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360" cy="19713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449036</xdr:colOff>
      <xdr:row>2</xdr:row>
      <xdr:rowOff>155802</xdr:rowOff>
    </xdr:from>
    <xdr:to>
      <xdr:col>12</xdr:col>
      <xdr:colOff>408214</xdr:colOff>
      <xdr:row>19</xdr:row>
      <xdr:rowOff>123144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C35125-9D42-D311-2646-43654B5B4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524520</xdr:colOff>
      <xdr:row>26</xdr:row>
      <xdr:rowOff>360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680" cy="22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22320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73760"/>
          <a:ext cx="5019840" cy="21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166" zoomScaleNormal="166" workbookViewId="0">
      <selection activeCell="J3" sqref="J3"/>
    </sheetView>
  </sheetViews>
  <sheetFormatPr defaultColWidth="11.5703125" defaultRowHeight="12.7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</v>
      </c>
      <c r="B2">
        <v>9</v>
      </c>
      <c r="C2">
        <v>9</v>
      </c>
      <c r="D2">
        <v>9</v>
      </c>
      <c r="E2">
        <v>9</v>
      </c>
      <c r="F2">
        <v>9</v>
      </c>
      <c r="G2" s="15">
        <f>AVERAGE(B2:F2)</f>
        <v>9</v>
      </c>
      <c r="H2">
        <f>MAX(B2:F2)</f>
        <v>9</v>
      </c>
      <c r="I2">
        <f>MIN(B2:F2)</f>
        <v>9</v>
      </c>
      <c r="J2">
        <f>SUM(B2:F2)</f>
        <v>45</v>
      </c>
    </row>
    <row r="3" spans="1:10">
      <c r="A3" t="s">
        <v>21</v>
      </c>
      <c r="B3">
        <v>10</v>
      </c>
      <c r="C3">
        <v>10</v>
      </c>
      <c r="D3">
        <v>10</v>
      </c>
      <c r="E3">
        <v>10</v>
      </c>
      <c r="F3">
        <v>10</v>
      </c>
      <c r="G3" s="15">
        <f t="shared" ref="G3:G17" si="0">AVERAGE(B3:F3)</f>
        <v>10</v>
      </c>
    </row>
    <row r="4" spans="1:10">
      <c r="A4" t="s">
        <v>14</v>
      </c>
      <c r="B4">
        <v>10</v>
      </c>
      <c r="C4">
        <v>10</v>
      </c>
      <c r="D4">
        <v>10</v>
      </c>
      <c r="E4">
        <v>10</v>
      </c>
      <c r="F4">
        <v>10</v>
      </c>
      <c r="G4" s="15">
        <f t="shared" si="0"/>
        <v>10</v>
      </c>
    </row>
    <row r="5" spans="1:10">
      <c r="A5" t="s">
        <v>13</v>
      </c>
      <c r="B5">
        <v>9</v>
      </c>
      <c r="C5">
        <v>9</v>
      </c>
      <c r="D5">
        <v>9</v>
      </c>
      <c r="E5">
        <v>9</v>
      </c>
      <c r="F5">
        <v>9</v>
      </c>
      <c r="G5" s="15">
        <f t="shared" si="0"/>
        <v>9</v>
      </c>
    </row>
    <row r="6" spans="1:10">
      <c r="A6" t="s">
        <v>17</v>
      </c>
      <c r="B6">
        <v>10</v>
      </c>
      <c r="C6">
        <v>10</v>
      </c>
      <c r="D6">
        <v>7</v>
      </c>
      <c r="E6">
        <v>10</v>
      </c>
      <c r="F6">
        <v>10</v>
      </c>
      <c r="G6" s="15">
        <f t="shared" si="0"/>
        <v>9.4</v>
      </c>
    </row>
    <row r="7" spans="1:10">
      <c r="A7" t="s">
        <v>23</v>
      </c>
      <c r="B7">
        <v>10</v>
      </c>
      <c r="C7">
        <v>10</v>
      </c>
      <c r="D7">
        <v>10</v>
      </c>
      <c r="E7">
        <v>10</v>
      </c>
      <c r="F7">
        <v>10</v>
      </c>
      <c r="G7" s="15">
        <f t="shared" si="0"/>
        <v>10</v>
      </c>
    </row>
    <row r="8" spans="1:10">
      <c r="A8" t="s">
        <v>12</v>
      </c>
      <c r="B8">
        <v>10</v>
      </c>
      <c r="C8">
        <v>10</v>
      </c>
      <c r="D8">
        <v>10</v>
      </c>
      <c r="E8">
        <v>10</v>
      </c>
      <c r="F8">
        <v>10</v>
      </c>
      <c r="G8" s="15">
        <f t="shared" si="0"/>
        <v>10</v>
      </c>
    </row>
    <row r="9" spans="1:10">
      <c r="A9" t="s">
        <v>19</v>
      </c>
      <c r="B9">
        <v>10</v>
      </c>
      <c r="C9">
        <v>10</v>
      </c>
      <c r="D9">
        <v>10</v>
      </c>
      <c r="E9">
        <v>10</v>
      </c>
      <c r="F9">
        <v>10</v>
      </c>
      <c r="G9" s="15">
        <f t="shared" si="0"/>
        <v>10</v>
      </c>
    </row>
    <row r="10" spans="1:10">
      <c r="A10" t="s">
        <v>20</v>
      </c>
      <c r="B10">
        <v>10</v>
      </c>
      <c r="C10">
        <v>10</v>
      </c>
      <c r="D10">
        <v>10</v>
      </c>
      <c r="E10">
        <v>10</v>
      </c>
      <c r="F10">
        <v>10</v>
      </c>
      <c r="G10" s="15">
        <f t="shared" si="0"/>
        <v>10</v>
      </c>
    </row>
    <row r="11" spans="1:10">
      <c r="A11" t="s">
        <v>10</v>
      </c>
      <c r="B11">
        <v>10</v>
      </c>
      <c r="C11">
        <v>10</v>
      </c>
      <c r="D11">
        <v>10</v>
      </c>
      <c r="E11">
        <v>9</v>
      </c>
      <c r="F11">
        <v>10</v>
      </c>
      <c r="G11" s="15">
        <f t="shared" si="0"/>
        <v>9.8000000000000007</v>
      </c>
    </row>
    <row r="12" spans="1:10">
      <c r="A12" t="s">
        <v>15</v>
      </c>
      <c r="B12">
        <v>10</v>
      </c>
      <c r="C12">
        <v>10</v>
      </c>
      <c r="D12">
        <v>10</v>
      </c>
      <c r="E12">
        <v>10</v>
      </c>
      <c r="F12">
        <v>10</v>
      </c>
      <c r="G12" s="15">
        <f t="shared" si="0"/>
        <v>10</v>
      </c>
    </row>
    <row r="13" spans="1:10">
      <c r="A13" t="s">
        <v>18</v>
      </c>
      <c r="B13">
        <v>10</v>
      </c>
      <c r="C13">
        <v>10</v>
      </c>
      <c r="D13">
        <v>10</v>
      </c>
      <c r="E13">
        <v>10</v>
      </c>
      <c r="F13">
        <v>10</v>
      </c>
      <c r="G13" s="15">
        <f t="shared" si="0"/>
        <v>10</v>
      </c>
    </row>
    <row r="14" spans="1:10">
      <c r="A14" t="s">
        <v>11</v>
      </c>
      <c r="B14">
        <v>10</v>
      </c>
      <c r="C14">
        <v>10</v>
      </c>
      <c r="D14">
        <v>10</v>
      </c>
      <c r="E14">
        <v>10</v>
      </c>
      <c r="F14">
        <v>10</v>
      </c>
      <c r="G14" s="15">
        <f t="shared" si="0"/>
        <v>10</v>
      </c>
    </row>
    <row r="15" spans="1:10">
      <c r="A15" t="s">
        <v>16</v>
      </c>
      <c r="B15">
        <v>10</v>
      </c>
      <c r="C15">
        <v>10</v>
      </c>
      <c r="D15">
        <v>10</v>
      </c>
      <c r="E15">
        <v>10</v>
      </c>
      <c r="F15">
        <v>10</v>
      </c>
      <c r="G15" s="15">
        <f t="shared" si="0"/>
        <v>10</v>
      </c>
    </row>
    <row r="16" spans="1:10">
      <c r="A16" t="s">
        <v>22</v>
      </c>
      <c r="B16">
        <v>10</v>
      </c>
      <c r="C16">
        <v>10</v>
      </c>
      <c r="D16">
        <v>10</v>
      </c>
      <c r="E16">
        <v>10</v>
      </c>
      <c r="F16">
        <v>10</v>
      </c>
      <c r="G16" s="15">
        <f t="shared" si="0"/>
        <v>10</v>
      </c>
    </row>
    <row r="17" spans="1:7">
      <c r="F17" t="s">
        <v>25</v>
      </c>
      <c r="G17">
        <f>AVERAGE(B2:F16)</f>
        <v>9.8133333333333326</v>
      </c>
    </row>
    <row r="18" spans="1:7">
      <c r="G18">
        <f>AVERAGE(G2:G16)</f>
        <v>9.8133333333333326</v>
      </c>
    </row>
    <row r="20" spans="1:7">
      <c r="A20" s="2" t="s">
        <v>26</v>
      </c>
    </row>
    <row r="21" spans="1:7">
      <c r="A21" s="2" t="s">
        <v>27</v>
      </c>
    </row>
    <row r="22" spans="1:7">
      <c r="A22" s="2" t="s">
        <v>28</v>
      </c>
    </row>
    <row r="23" spans="1:7">
      <c r="A23" s="2"/>
    </row>
    <row r="24" spans="1:7">
      <c r="A24" s="2" t="s">
        <v>29</v>
      </c>
    </row>
  </sheetData>
  <sortState xmlns:xlrd2="http://schemas.microsoft.com/office/spreadsheetml/2017/richdata2" ref="A2:J17">
    <sortCondition ref="A2:A17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="200" zoomScaleNormal="200" workbookViewId="0">
      <selection activeCell="B12" sqref="B12"/>
    </sheetView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  <c r="B2">
        <f>6*A2</f>
        <v>6</v>
      </c>
    </row>
    <row r="3" spans="1:2">
      <c r="A3">
        <v>2</v>
      </c>
      <c r="B3">
        <f t="shared" ref="B3:B12" si="0">6*A3</f>
        <v>12</v>
      </c>
    </row>
    <row r="4" spans="1:2">
      <c r="A4">
        <v>3</v>
      </c>
      <c r="B4">
        <f t="shared" si="0"/>
        <v>18</v>
      </c>
    </row>
    <row r="5" spans="1:2">
      <c r="A5">
        <v>4</v>
      </c>
      <c r="B5">
        <f t="shared" si="0"/>
        <v>24</v>
      </c>
    </row>
    <row r="6" spans="1:2">
      <c r="A6">
        <v>5</v>
      </c>
      <c r="B6">
        <f t="shared" si="0"/>
        <v>30</v>
      </c>
    </row>
    <row r="7" spans="1:2">
      <c r="A7">
        <v>6</v>
      </c>
      <c r="B7">
        <f t="shared" si="0"/>
        <v>36</v>
      </c>
    </row>
    <row r="8" spans="1:2">
      <c r="A8">
        <v>7</v>
      </c>
      <c r="B8">
        <f t="shared" si="0"/>
        <v>42</v>
      </c>
    </row>
    <row r="9" spans="1:2">
      <c r="A9">
        <v>8</v>
      </c>
      <c r="B9">
        <f t="shared" si="0"/>
        <v>48</v>
      </c>
    </row>
    <row r="10" spans="1:2">
      <c r="A10">
        <v>9</v>
      </c>
      <c r="B10">
        <f t="shared" si="0"/>
        <v>54</v>
      </c>
    </row>
    <row r="11" spans="1:2">
      <c r="A11">
        <v>10</v>
      </c>
      <c r="B11">
        <f t="shared" si="0"/>
        <v>60</v>
      </c>
    </row>
    <row r="12" spans="1:2">
      <c r="B12">
        <f t="shared" si="0"/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A16" zoomScale="130" zoomScaleNormal="130" workbookViewId="0">
      <selection activeCell="I2" sqref="I2"/>
    </sheetView>
  </sheetViews>
  <sheetFormatPr defaultColWidth="11.5703125" defaultRowHeight="12.75"/>
  <sheetData>
    <row r="1" spans="1: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41</v>
      </c>
      <c r="B2">
        <v>18</v>
      </c>
      <c r="C2">
        <v>233</v>
      </c>
      <c r="D2">
        <v>41</v>
      </c>
      <c r="E2">
        <v>33</v>
      </c>
      <c r="F2">
        <v>43</v>
      </c>
      <c r="G2">
        <v>0</v>
      </c>
      <c r="H2">
        <v>0</v>
      </c>
      <c r="I2" s="16">
        <f>SUM(B2:H2)</f>
        <v>368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9">
      <c r="A10" t="s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4" spans="1:9">
      <c r="A14" s="2" t="s">
        <v>51</v>
      </c>
    </row>
    <row r="15" spans="1:9">
      <c r="A15" s="3" t="s">
        <v>52</v>
      </c>
      <c r="B15" s="3"/>
      <c r="C15" s="4"/>
      <c r="D15" s="4"/>
    </row>
    <row r="16" spans="1:9">
      <c r="A16" s="3" t="s">
        <v>53</v>
      </c>
      <c r="B16" s="3"/>
      <c r="C16" s="4"/>
      <c r="D16" s="4"/>
    </row>
    <row r="17" spans="1:4">
      <c r="A17" s="3" t="s">
        <v>54</v>
      </c>
      <c r="B17" s="3"/>
      <c r="C17" s="4"/>
      <c r="D17" s="4"/>
    </row>
    <row r="18" spans="1:4">
      <c r="A18" s="3" t="s">
        <v>55</v>
      </c>
      <c r="B18" s="3"/>
      <c r="C18" s="4"/>
      <c r="D18" s="4"/>
    </row>
    <row r="19" spans="1:4">
      <c r="A19" s="3" t="s">
        <v>56</v>
      </c>
      <c r="B19" s="3"/>
      <c r="C19" s="4"/>
      <c r="D19" s="4"/>
    </row>
    <row r="20" spans="1:4">
      <c r="A20" s="3" t="s">
        <v>57</v>
      </c>
      <c r="B20" s="3"/>
      <c r="C20" s="4"/>
      <c r="D20" s="4"/>
    </row>
    <row r="21" spans="1:4">
      <c r="A21" s="3" t="s">
        <v>58</v>
      </c>
      <c r="B21" s="3"/>
      <c r="C21" s="4"/>
      <c r="D21" s="4"/>
    </row>
    <row r="22" spans="1:4">
      <c r="A22" s="3" t="s">
        <v>59</v>
      </c>
      <c r="B22" s="3"/>
      <c r="C22" s="4"/>
      <c r="D22" s="4"/>
    </row>
    <row r="23" spans="1:4">
      <c r="A23" s="3" t="s">
        <v>60</v>
      </c>
      <c r="B23" s="3"/>
      <c r="C23" s="4"/>
      <c r="D23" s="4"/>
    </row>
    <row r="24" spans="1:4">
      <c r="A24" s="3" t="s">
        <v>61</v>
      </c>
      <c r="B24" s="3"/>
      <c r="C24" s="4"/>
      <c r="D24" s="4"/>
    </row>
    <row r="25" spans="1:4">
      <c r="A25" s="3" t="s">
        <v>62</v>
      </c>
      <c r="B25" s="3"/>
      <c r="C25" s="4"/>
      <c r="D25" s="4"/>
    </row>
    <row r="27" spans="1:4" ht="15.75">
      <c r="A27" s="5" t="s">
        <v>63</v>
      </c>
    </row>
    <row r="28" spans="1:4" ht="15.75">
      <c r="A28" s="5" t="s">
        <v>64</v>
      </c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6" t="s">
        <v>68</v>
      </c>
      <c r="B32" s="3"/>
      <c r="C32" s="3"/>
      <c r="D32" s="3"/>
    </row>
    <row r="33" spans="1:7">
      <c r="A33" s="7" t="s">
        <v>69</v>
      </c>
      <c r="B33" s="3"/>
      <c r="C33" s="3"/>
      <c r="D33" s="3"/>
    </row>
    <row r="34" spans="1:7">
      <c r="A34" s="3" t="s">
        <v>70</v>
      </c>
      <c r="B34" s="3"/>
      <c r="C34" s="3"/>
      <c r="D34" s="3"/>
    </row>
    <row r="35" spans="1:7">
      <c r="A35" s="7" t="s">
        <v>71</v>
      </c>
      <c r="B35" s="3"/>
      <c r="C35" s="3"/>
      <c r="D35" s="3"/>
    </row>
    <row r="36" spans="1:7">
      <c r="A36" s="3" t="s">
        <v>72</v>
      </c>
      <c r="B36" s="3"/>
      <c r="C36" s="3"/>
      <c r="D36" s="3"/>
    </row>
    <row r="37" spans="1:7">
      <c r="A37" s="7" t="s">
        <v>73</v>
      </c>
      <c r="B37" s="3"/>
      <c r="C37" s="3"/>
      <c r="D37" s="3"/>
    </row>
    <row r="38" spans="1:7">
      <c r="A38" s="3" t="s">
        <v>74</v>
      </c>
      <c r="B38" s="3"/>
      <c r="C38" s="3"/>
      <c r="D38" s="3"/>
    </row>
    <row r="39" spans="1:7">
      <c r="A39" s="7" t="s">
        <v>75</v>
      </c>
      <c r="B39" s="3"/>
      <c r="C39" s="3"/>
      <c r="D39" s="3"/>
    </row>
    <row r="40" spans="1:7">
      <c r="A40" s="7" t="s">
        <v>76</v>
      </c>
      <c r="B40" s="3"/>
      <c r="C40" s="3"/>
      <c r="D40" s="3"/>
    </row>
    <row r="41" spans="1:7">
      <c r="A41" s="3" t="s">
        <v>77</v>
      </c>
      <c r="B41" s="3"/>
      <c r="C41" s="3"/>
      <c r="D41" s="3"/>
    </row>
    <row r="42" spans="1:7">
      <c r="A42" s="7" t="s">
        <v>78</v>
      </c>
      <c r="B42" s="3"/>
      <c r="C42" s="3"/>
      <c r="D42" s="3"/>
    </row>
    <row r="44" spans="1:7">
      <c r="A44" s="3" t="s">
        <v>79</v>
      </c>
      <c r="B44" s="4"/>
      <c r="C44" s="4"/>
      <c r="D44" s="4"/>
      <c r="E44" s="4"/>
      <c r="F44" s="4"/>
      <c r="G44" s="4"/>
    </row>
    <row r="45" spans="1:7">
      <c r="A45" s="3" t="s">
        <v>80</v>
      </c>
      <c r="B45" s="4"/>
      <c r="C45" s="4"/>
      <c r="D45" s="4"/>
      <c r="E45" s="4"/>
      <c r="F45" s="4"/>
      <c r="G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="220" zoomScaleNormal="220" workbookViewId="0">
      <selection activeCell="C2" sqref="C2:C11"/>
    </sheetView>
  </sheetViews>
  <sheetFormatPr defaultColWidth="11.5703125" defaultRowHeight="12.75"/>
  <cols>
    <col min="2" max="2" width="22.5703125" customWidth="1"/>
  </cols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>
        <v>9.1999999999999993</v>
      </c>
      <c r="C2" t="str">
        <f>IF(B2&gt;=5,"Promovat","Respins")</f>
        <v>Promovat</v>
      </c>
    </row>
    <row r="3" spans="1:3">
      <c r="A3" t="s">
        <v>85</v>
      </c>
      <c r="B3">
        <v>4.75</v>
      </c>
      <c r="C3" t="str">
        <f t="shared" ref="C3:C11" si="0">IF(B3&gt;=5,"Promovat","Respins")</f>
        <v>Respins</v>
      </c>
    </row>
    <row r="4" spans="1:3">
      <c r="A4" t="s">
        <v>86</v>
      </c>
      <c r="B4">
        <v>7.1</v>
      </c>
      <c r="C4" t="str">
        <f t="shared" si="0"/>
        <v>Promovat</v>
      </c>
    </row>
    <row r="5" spans="1:3">
      <c r="A5" t="s">
        <v>87</v>
      </c>
      <c r="B5">
        <v>3.9</v>
      </c>
      <c r="C5" t="str">
        <f t="shared" si="0"/>
        <v>Respins</v>
      </c>
    </row>
    <row r="6" spans="1:3">
      <c r="A6" t="s">
        <v>88</v>
      </c>
      <c r="B6">
        <v>10</v>
      </c>
      <c r="C6" t="str">
        <f t="shared" si="0"/>
        <v>Promovat</v>
      </c>
    </row>
    <row r="7" spans="1:3">
      <c r="A7" t="s">
        <v>89</v>
      </c>
      <c r="B7">
        <v>5</v>
      </c>
      <c r="C7" t="str">
        <f t="shared" si="0"/>
        <v>Promovat</v>
      </c>
    </row>
    <row r="8" spans="1:3">
      <c r="A8" t="s">
        <v>90</v>
      </c>
      <c r="B8">
        <v>4.99</v>
      </c>
      <c r="C8" t="str">
        <f t="shared" si="0"/>
        <v>Respins</v>
      </c>
    </row>
    <row r="9" spans="1:3">
      <c r="A9" t="s">
        <v>91</v>
      </c>
      <c r="B9">
        <v>8.4499999999999993</v>
      </c>
      <c r="C9" t="str">
        <f t="shared" si="0"/>
        <v>Promovat</v>
      </c>
    </row>
    <row r="10" spans="1:3">
      <c r="A10" t="s">
        <v>92</v>
      </c>
      <c r="B10">
        <v>2.5</v>
      </c>
      <c r="C10" t="str">
        <f t="shared" si="0"/>
        <v>Respins</v>
      </c>
    </row>
    <row r="11" spans="1:3">
      <c r="A11" t="s">
        <v>93</v>
      </c>
      <c r="B11">
        <v>6.3</v>
      </c>
      <c r="C11" t="str">
        <f t="shared" si="0"/>
        <v>Promovat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zoomScale="140" zoomScaleNormal="140" workbookViewId="0">
      <selection activeCell="K3" sqref="K3"/>
    </sheetView>
  </sheetViews>
  <sheetFormatPr defaultColWidth="11.5703125" defaultRowHeight="12.75"/>
  <cols>
    <col min="1" max="1" width="17.5703125" customWidth="1"/>
  </cols>
  <sheetData>
    <row r="1" spans="1:11">
      <c r="A1" s="1" t="s">
        <v>94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>
      <c r="A2" s="1" t="s">
        <v>95</v>
      </c>
      <c r="B2">
        <v>0</v>
      </c>
      <c r="C2">
        <v>0</v>
      </c>
      <c r="D2">
        <v>0</v>
      </c>
      <c r="E2">
        <v>36</v>
      </c>
      <c r="F2">
        <v>132</v>
      </c>
      <c r="G2">
        <v>234</v>
      </c>
      <c r="H2">
        <v>243</v>
      </c>
      <c r="I2">
        <v>292</v>
      </c>
      <c r="J2">
        <v>267</v>
      </c>
      <c r="K2">
        <v>96</v>
      </c>
    </row>
    <row r="13" spans="1:11">
      <c r="A13" s="3" t="s">
        <v>96</v>
      </c>
      <c r="B13" s="3"/>
      <c r="C13" s="3"/>
      <c r="D13" s="3"/>
    </row>
    <row r="14" spans="1:11">
      <c r="A14" s="3" t="s">
        <v>97</v>
      </c>
      <c r="B14" s="3"/>
      <c r="C14" s="3"/>
      <c r="D14" s="3"/>
    </row>
    <row r="15" spans="1:11">
      <c r="A15" s="3" t="s">
        <v>98</v>
      </c>
      <c r="B15" s="3"/>
      <c r="C15" s="3"/>
      <c r="D15" s="3"/>
    </row>
    <row r="16" spans="1:11">
      <c r="A16" s="3" t="s">
        <v>99</v>
      </c>
      <c r="B16" s="3"/>
      <c r="C16" s="3"/>
      <c r="D16" s="3"/>
    </row>
    <row r="29" spans="1:9">
      <c r="A29" s="8" t="s">
        <v>100</v>
      </c>
      <c r="B29" s="8"/>
      <c r="C29" s="8"/>
      <c r="D29" s="8"/>
      <c r="E29" s="8"/>
      <c r="F29" s="8"/>
      <c r="G29" s="8"/>
      <c r="H29" s="8"/>
      <c r="I29" s="8"/>
    </row>
    <row r="30" spans="1:9">
      <c r="A30" s="8" t="s">
        <v>101</v>
      </c>
      <c r="B30" s="8"/>
      <c r="C30" s="8"/>
      <c r="D30" s="8"/>
      <c r="E30" s="8"/>
      <c r="F30" s="8"/>
      <c r="G30" s="8"/>
      <c r="H30" s="8"/>
      <c r="I30" s="8"/>
    </row>
    <row r="31" spans="1:9">
      <c r="A31" s="9" t="s">
        <v>102</v>
      </c>
      <c r="B31" s="8"/>
      <c r="C31" s="8"/>
      <c r="D31" s="8"/>
      <c r="E31" s="8"/>
      <c r="F31" s="8"/>
      <c r="G31" s="8"/>
      <c r="H31" s="8"/>
      <c r="I3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zoomScale="180" zoomScaleNormal="180" workbookViewId="0">
      <selection activeCell="C3" sqref="C3:J3"/>
    </sheetView>
  </sheetViews>
  <sheetFormatPr defaultColWidth="11.5703125" defaultRowHeight="12.75"/>
  <sheetData>
    <row r="1" spans="1:10">
      <c r="A1" t="s">
        <v>103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104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0" t="s">
        <v>105</v>
      </c>
      <c r="B3" s="10"/>
      <c r="C3" s="10">
        <f>C2/C1</f>
        <v>11.5</v>
      </c>
      <c r="D3" s="10">
        <f t="shared" ref="D3:J3" si="0">D2/D1</f>
        <v>6.5</v>
      </c>
      <c r="E3" s="10">
        <f t="shared" si="0"/>
        <v>4.833333333333333</v>
      </c>
      <c r="F3" s="10">
        <f t="shared" si="0"/>
        <v>4</v>
      </c>
      <c r="G3" s="10">
        <f t="shared" si="0"/>
        <v>3.5</v>
      </c>
      <c r="H3" s="10">
        <f t="shared" si="0"/>
        <v>3.1666666666666665</v>
      </c>
      <c r="I3" s="10">
        <f t="shared" si="0"/>
        <v>2.9285714285714284</v>
      </c>
      <c r="J3" s="10">
        <f t="shared" si="0"/>
        <v>2.75</v>
      </c>
    </row>
    <row r="5" spans="1:10">
      <c r="A5" s="8" t="s">
        <v>106</v>
      </c>
      <c r="B5" s="8"/>
      <c r="C5" s="8"/>
      <c r="D5" s="8"/>
      <c r="E5" s="8"/>
      <c r="F5" s="8"/>
      <c r="G5" s="8"/>
      <c r="H5" s="8"/>
    </row>
    <row r="6" spans="1:10">
      <c r="A6" s="11" t="s">
        <v>107</v>
      </c>
      <c r="B6" s="8"/>
      <c r="C6" s="8"/>
      <c r="D6" s="8"/>
      <c r="E6" s="8"/>
      <c r="F6" s="8"/>
      <c r="G6" s="8"/>
      <c r="H6" s="8"/>
    </row>
    <row r="8" spans="1:10">
      <c r="A8" s="11" t="s">
        <v>108</v>
      </c>
      <c r="B8" s="4"/>
      <c r="C8" s="4"/>
      <c r="D8" s="4"/>
      <c r="E8" s="4"/>
      <c r="F8" s="4"/>
      <c r="G8" s="4"/>
      <c r="H8" s="4"/>
    </row>
    <row r="10" spans="1:10">
      <c r="A10" s="12" t="s">
        <v>109</v>
      </c>
      <c r="B10" s="12"/>
      <c r="C10" s="12"/>
      <c r="D10" s="12"/>
      <c r="E10" s="12"/>
      <c r="F10" s="12"/>
      <c r="G10" s="12"/>
      <c r="H10" s="12"/>
    </row>
    <row r="11" spans="1:10" ht="15">
      <c r="A11" s="13" t="s">
        <v>110</v>
      </c>
      <c r="B11" s="12"/>
      <c r="C11" s="12"/>
      <c r="D11" s="12"/>
      <c r="E11" s="12"/>
      <c r="F11" s="12"/>
      <c r="G11" s="12"/>
      <c r="H11" s="12"/>
    </row>
    <row r="12" spans="1:10" ht="15">
      <c r="A1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B2" sqref="B2"/>
    </sheetView>
  </sheetViews>
  <sheetFormatPr defaultColWidth="11.5703125" defaultRowHeight="12.75"/>
  <cols>
    <col min="1" max="1" width="17" customWidth="1"/>
    <col min="2" max="2" width="19.28515625" customWidth="1"/>
  </cols>
  <sheetData>
    <row r="1" spans="1:8">
      <c r="A1" t="s">
        <v>111</v>
      </c>
      <c r="B1" t="s">
        <v>112</v>
      </c>
    </row>
    <row r="9" spans="1:8">
      <c r="A9" s="8" t="s">
        <v>113</v>
      </c>
      <c r="B9" s="8"/>
      <c r="C9" s="8"/>
      <c r="D9" s="8"/>
      <c r="E9" s="8"/>
      <c r="F9" s="8"/>
      <c r="G9" s="8"/>
      <c r="H9" s="8"/>
    </row>
    <row r="10" spans="1:8">
      <c r="A10" s="8" t="s">
        <v>114</v>
      </c>
      <c r="B10" s="8"/>
      <c r="C10" s="8"/>
      <c r="D10" s="8"/>
      <c r="E10" s="8"/>
      <c r="F10" s="8"/>
      <c r="G10" s="8"/>
      <c r="H10" s="8"/>
    </row>
    <row r="11" spans="1:8">
      <c r="A11" s="11" t="s">
        <v>115</v>
      </c>
      <c r="B11" s="8"/>
      <c r="C11" s="8"/>
      <c r="D11" s="8"/>
      <c r="E11" s="8"/>
      <c r="F11" s="8"/>
      <c r="G11" s="8"/>
      <c r="H11" s="8"/>
    </row>
    <row r="12" spans="1:8">
      <c r="A12" s="11" t="s">
        <v>116</v>
      </c>
      <c r="B12" s="8"/>
      <c r="C12" s="8"/>
      <c r="D12" s="8"/>
      <c r="E12" s="8"/>
      <c r="F12" s="8"/>
      <c r="G12" s="8"/>
      <c r="H12" s="8"/>
    </row>
    <row r="13" spans="1:8">
      <c r="A13" s="11" t="s">
        <v>117</v>
      </c>
      <c r="B13" s="8"/>
      <c r="C13" s="8"/>
      <c r="D13" s="8"/>
      <c r="E13" s="8"/>
      <c r="F13" s="8"/>
      <c r="G13" s="8"/>
      <c r="H13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11.5703125" defaultRowHeight="12.75"/>
  <sheetData>
    <row r="1" spans="1:2">
      <c r="A1" t="s">
        <v>118</v>
      </c>
      <c r="B1" t="s">
        <v>119</v>
      </c>
    </row>
    <row r="2" spans="1:2">
      <c r="A2" t="s">
        <v>120</v>
      </c>
      <c r="B2">
        <v>5</v>
      </c>
    </row>
    <row r="3" spans="1:2">
      <c r="A3" t="s">
        <v>121</v>
      </c>
      <c r="B3">
        <v>7</v>
      </c>
    </row>
    <row r="4" spans="1:2">
      <c r="A4" t="s">
        <v>122</v>
      </c>
      <c r="B4">
        <v>3</v>
      </c>
    </row>
    <row r="5" spans="1:2">
      <c r="A5" t="s">
        <v>123</v>
      </c>
      <c r="B5">
        <v>9</v>
      </c>
    </row>
    <row r="6" spans="1:2">
      <c r="A6" t="s">
        <v>124</v>
      </c>
      <c r="B6">
        <v>6</v>
      </c>
    </row>
    <row r="7" spans="1:2">
      <c r="A7" t="s">
        <v>125</v>
      </c>
      <c r="B7">
        <v>8</v>
      </c>
    </row>
    <row r="8" spans="1:2">
      <c r="A8" t="s">
        <v>126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12</cp:revision>
  <dcterms:created xsi:type="dcterms:W3CDTF">2026-09-07T22:06:53Z</dcterms:created>
  <dcterms:modified xsi:type="dcterms:W3CDTF">2026-09-08T11:55:41Z</dcterms:modified>
  <dc:language>en-US</dc:language>
</cp:coreProperties>
</file>